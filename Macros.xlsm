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_X\~Macro\"/>
    </mc:Choice>
  </mc:AlternateContent>
  <bookViews>
    <workbookView xWindow="0" yWindow="0" windowWidth="28800" windowHeight="12450" activeTab="1"/>
  </bookViews>
  <sheets>
    <sheet name="Macro List" sheetId="3" r:id="rId1"/>
    <sheet name="Sheet1" sheetId="6" r:id="rId2"/>
    <sheet name="Hole" sheetId="2" r:id="rId3"/>
    <sheet name="Examples" sheetId="4" r:id="rId4"/>
    <sheet name="Conver_Time" sheetId="5" r:id="rId5"/>
  </sheets>
  <functionGroups builtInGroupCount="18"/>
  <calcPr calcId="162913"/>
</workbook>
</file>

<file path=xl/calcChain.xml><?xml version="1.0" encoding="utf-8"?>
<calcChain xmlns="http://schemas.openxmlformats.org/spreadsheetml/2006/main">
  <c r="E1" i="3" l="1"/>
  <c r="D1" i="3"/>
  <c r="AZ8" i="2" l="1"/>
</calcChain>
</file>

<file path=xl/sharedStrings.xml><?xml version="1.0" encoding="utf-8"?>
<sst xmlns="http://schemas.openxmlformats.org/spreadsheetml/2006/main" count="131" uniqueCount="77">
  <si>
    <t>Callsign</t>
  </si>
  <si>
    <t>Date</t>
  </si>
  <si>
    <t>Time</t>
  </si>
  <si>
    <t>| First Hour</t>
  </si>
  <si>
    <t>| Second Hour</t>
  </si>
  <si>
    <t>|</t>
  </si>
  <si>
    <t>|  get difference in minutes between first concaenate date/time and second concatenate date/time</t>
  </si>
  <si>
    <t>| Put first concaenate date/time in same row as second concatenate date/time</t>
  </si>
  <si>
    <t>| Concatenate Date and Time</t>
  </si>
  <si>
    <t>&lt; Filter Minute Diffenence</t>
  </si>
  <si>
    <t>&lt; First Time</t>
  </si>
  <si>
    <t>&lt; Second Time</t>
  </si>
  <si>
    <t>Control Shift</t>
  </si>
  <si>
    <t>H</t>
  </si>
  <si>
    <t>&lt; Minumum Minute Difference</t>
  </si>
  <si>
    <t>&lt; FROM  First Hour Time After Hour Filter</t>
  </si>
  <si>
    <t>&lt; TO    Second Hour Time After Hour Filter</t>
  </si>
  <si>
    <t>N0 Filter</t>
  </si>
  <si>
    <t>Filter between FROM  and  TO</t>
  </si>
  <si>
    <t>Filter Below Minimum Minute Difference</t>
  </si>
  <si>
    <t>Time Difference</t>
  </si>
  <si>
    <t>Previous Time Stamp</t>
  </si>
  <si>
    <t>Time Stamp</t>
  </si>
  <si>
    <t>Open AC History File select any cell in the History Sheet  / start the macro Control Shift H</t>
  </si>
  <si>
    <t>Find Holes in AC History File</t>
  </si>
  <si>
    <t>R</t>
  </si>
  <si>
    <t>Module_Hole</t>
  </si>
  <si>
    <t>Module_All_Recount</t>
  </si>
  <si>
    <t>Consolidate Recount Sheets</t>
  </si>
  <si>
    <t>D</t>
  </si>
  <si>
    <t>Find differences between two counts</t>
  </si>
  <si>
    <t>Module_Difference</t>
  </si>
  <si>
    <t>Consolidate and group all Recount worksheets into Sheet All_Recount</t>
  </si>
  <si>
    <t>Hole</t>
  </si>
  <si>
    <t>xALLRecount</t>
  </si>
  <si>
    <t>xDifference</t>
  </si>
  <si>
    <t>a</t>
  </si>
  <si>
    <t>q</t>
  </si>
  <si>
    <t>s</t>
  </si>
  <si>
    <t>T</t>
  </si>
  <si>
    <t>Left</t>
  </si>
  <si>
    <t>Right</t>
  </si>
  <si>
    <t>ASPM</t>
  </si>
  <si>
    <t>Tower</t>
  </si>
  <si>
    <t>TRACON</t>
  </si>
  <si>
    <t>Hide Pyton Columns</t>
  </si>
  <si>
    <t>Control</t>
  </si>
  <si>
    <t>Category</t>
  </si>
  <si>
    <t>Type</t>
  </si>
  <si>
    <t>Msg</t>
  </si>
  <si>
    <t>Rules</t>
  </si>
  <si>
    <t>Airport</t>
  </si>
  <si>
    <t>ADE</t>
  </si>
  <si>
    <t>Position</t>
  </si>
  <si>
    <t>Airspace</t>
  </si>
  <si>
    <t>sTime</t>
  </si>
  <si>
    <t>eTime</t>
  </si>
  <si>
    <t>eTime2</t>
  </si>
  <si>
    <t>60Min</t>
  </si>
  <si>
    <t>30Min</t>
  </si>
  <si>
    <t>15Min</t>
  </si>
  <si>
    <t>Year</t>
  </si>
  <si>
    <t>Month</t>
  </si>
  <si>
    <t>Day</t>
  </si>
  <si>
    <t>Leg</t>
  </si>
  <si>
    <t>Leg_Time</t>
  </si>
  <si>
    <t>Leg_Time2</t>
  </si>
  <si>
    <t>end60</t>
  </si>
  <si>
    <t>end30</t>
  </si>
  <si>
    <t>end15</t>
  </si>
  <si>
    <t>zTime</t>
  </si>
  <si>
    <t>zTime2</t>
  </si>
  <si>
    <t>zTime3</t>
  </si>
  <si>
    <t>eTime3</t>
  </si>
  <si>
    <t>Psn</t>
  </si>
  <si>
    <t>M8</t>
  </si>
  <si>
    <t>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</si>
</sst>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7" formatCode="&quot;$&quot;#,##0.00_);\(&quot;$&quot;#,##0.00\)"/>
    <numFmt numFmtId="8" formatCode="&quot;$&quot;#,##0.00_);[Red]\(&quot;$&quot;#,##0.00\)"/>
    <numFmt numFmtId="164" formatCode="&quot;$&quot;#,##0.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242729"/>
      <name val="Consolas"/>
      <family val="3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2">
    <xf numFmtId="0" fontId="0" fillId="0" borderId="0" xfId="0"/>
    <xf numFmtId="0" fontId="0" fillId="33" borderId="0" xfId="0" applyFill="1"/>
    <xf numFmtId="0" fontId="0" fillId="0" borderId="0" xfId="0" quotePrefix="1"/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right"/>
    </xf>
    <xf numFmtId="1" fontId="0" fillId="0" borderId="0" xfId="0" applyNumberFormat="1" applyFont="1" applyAlignment="1">
      <alignment horizontal="right"/>
    </xf>
    <xf numFmtId="1" fontId="0" fillId="0" borderId="0" xfId="0" applyNumberFormat="1" applyFont="1" applyAlignment="1">
      <alignment horizontal="left"/>
    </xf>
    <xf numFmtId="22" fontId="0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0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14" fontId="20" fillId="0" borderId="0" xfId="0" applyNumberFormat="1" applyFont="1" applyAlignment="1">
      <alignment horizontal="right"/>
    </xf>
    <xf numFmtId="164" fontId="20" fillId="0" borderId="0" xfId="0" applyNumberFormat="1" applyFont="1" applyAlignment="1">
      <alignment horizontal="right"/>
    </xf>
    <xf numFmtId="7" fontId="20" fillId="0" borderId="0" xfId="0" applyNumberFormat="1" applyFont="1" applyAlignment="1">
      <alignment horizontal="right"/>
    </xf>
    <xf numFmtId="8" fontId="20" fillId="0" borderId="0" xfId="0" applyNumberFormat="1" applyFont="1" applyAlignment="1">
      <alignment horizontal="right"/>
    </xf>
    <xf numFmtId="0" fontId="21" fillId="0" borderId="0" xfId="0" applyFont="1"/>
    <xf numFmtId="1" fontId="0" fillId="0" borderId="0" xfId="0" applyNumberFormat="1"/>
    <xf numFmtId="0" fontId="21" fillId="0" borderId="0" xfId="0" applyFont="1" applyAlignment="1">
      <alignment horizontal="center"/>
    </xf>
    <xf numFmtId="1" fontId="21" fillId="0" borderId="0" xfId="0" applyNumberFormat="1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15"/>
  <sheetViews>
    <sheetView workbookViewId="0">
      <selection activeCell="E1" sqref="E1:F1048576"/>
    </sheetView>
  </sheetViews>
  <sheetFormatPr defaultRowHeight="15" x14ac:dyDescent="0.25"/>
  <cols>
    <col min="1" max="1" width="12.140625" bestFit="1" customWidth="1"/>
    <col min="2" max="2" width="9.140625" style="9"/>
    <col min="3" max="3" width="12.28515625" style="9" bestFit="1" customWidth="1"/>
    <col min="4" max="4" width="19.85546875" style="19" bestFit="1" customWidth="1"/>
    <col min="5" max="5" width="35.140625" customWidth="1"/>
    <col min="6" max="6" width="81" customWidth="1"/>
    <col min="24" max="26" width="4.7109375" customWidth="1"/>
    <col min="34" max="34" width="9.140625" style="19"/>
  </cols>
  <sheetData>
    <row r="1" spans="1:52" ht="15.75" x14ac:dyDescent="0.25">
      <c r="B1" s="20"/>
      <c r="C1" s="20"/>
      <c r="D1" s="21">
        <f>SUM(D8:D3000)</f>
        <v>0</v>
      </c>
      <c r="E1" s="20">
        <f>SUM(E8:E3000)</f>
        <v>0</v>
      </c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1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</row>
    <row r="4" spans="1:52" ht="15.75" x14ac:dyDescent="0.25">
      <c r="A4" t="s">
        <v>12</v>
      </c>
      <c r="B4" s="9" t="s">
        <v>13</v>
      </c>
      <c r="C4" s="10" t="s">
        <v>33</v>
      </c>
      <c r="D4" s="19" t="s">
        <v>26</v>
      </c>
      <c r="E4" t="s">
        <v>24</v>
      </c>
      <c r="F4" t="s">
        <v>23</v>
      </c>
      <c r="G4" s="18"/>
    </row>
    <row r="5" spans="1:52" x14ac:dyDescent="0.25">
      <c r="C5" s="10"/>
    </row>
    <row r="6" spans="1:52" x14ac:dyDescent="0.25">
      <c r="A6" t="s">
        <v>12</v>
      </c>
      <c r="B6" s="9" t="s">
        <v>25</v>
      </c>
      <c r="C6" s="10" t="s">
        <v>34</v>
      </c>
      <c r="D6" s="19" t="s">
        <v>27</v>
      </c>
      <c r="E6" t="s">
        <v>28</v>
      </c>
      <c r="F6" t="s">
        <v>32</v>
      </c>
    </row>
    <row r="7" spans="1:52" x14ac:dyDescent="0.25">
      <c r="C7" s="10"/>
    </row>
    <row r="8" spans="1:52" x14ac:dyDescent="0.25">
      <c r="A8" t="s">
        <v>12</v>
      </c>
      <c r="B8" s="9" t="s">
        <v>29</v>
      </c>
      <c r="C8" s="10" t="s">
        <v>35</v>
      </c>
      <c r="D8" s="19" t="s">
        <v>31</v>
      </c>
      <c r="E8" t="s">
        <v>30</v>
      </c>
    </row>
    <row r="9" spans="1:52" x14ac:dyDescent="0.25">
      <c r="C9" s="10"/>
      <c r="G9" t="s">
        <v>40</v>
      </c>
      <c r="H9" t="s">
        <v>41</v>
      </c>
    </row>
    <row r="10" spans="1:52" x14ac:dyDescent="0.25">
      <c r="A10" t="s">
        <v>12</v>
      </c>
      <c r="B10" s="9" t="s">
        <v>39</v>
      </c>
      <c r="C10" s="10"/>
    </row>
    <row r="11" spans="1:52" x14ac:dyDescent="0.25">
      <c r="C11" s="10"/>
    </row>
    <row r="12" spans="1:52" x14ac:dyDescent="0.25">
      <c r="A12" t="s">
        <v>46</v>
      </c>
      <c r="B12" s="9" t="s">
        <v>36</v>
      </c>
      <c r="C12" s="10"/>
      <c r="E12" t="s">
        <v>45</v>
      </c>
    </row>
    <row r="13" spans="1:52" x14ac:dyDescent="0.25">
      <c r="C13" s="10"/>
    </row>
    <row r="14" spans="1:52" x14ac:dyDescent="0.25">
      <c r="A14" t="s">
        <v>42</v>
      </c>
      <c r="C14" s="10" t="s">
        <v>43</v>
      </c>
    </row>
    <row r="15" spans="1:52" x14ac:dyDescent="0.25">
      <c r="C15" s="10" t="s">
        <v>44</v>
      </c>
    </row>
  </sheetData>
  <conditionalFormatting sqref="E1:F1048576">
    <cfRule type="cellIs" dxfId="1" priority="3" operator="equal">
      <formula>TRUE</formula>
    </cfRule>
    <cfRule type="cellIs" dxfId="2" priority="2" operator="equal">
      <formula>TRUE</formula>
    </cfRule>
    <cfRule type="cellIs" dxfId="0" priority="1" operator="equal">
      <formula>TRUE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F17"/>
  <sheetViews>
    <sheetView tabSelected="1" workbookViewId="0">
      <selection activeCell="F10" sqref="F10"/>
    </sheetView>
  </sheetViews>
  <sheetFormatPr defaultRowHeight="15" x14ac:dyDescent="0.25"/>
  <cols>
    <col min="1" max="1" width="9.140625" style="9"/>
    <col min="2" max="2" width="12.7109375" customWidth="1"/>
    <col min="3" max="3" width="9.140625" style="9"/>
    <col min="4" max="4" width="12.7109375" customWidth="1"/>
    <col min="5" max="5" width="9.140625" style="9"/>
    <col min="6" max="6" width="12.7109375" customWidth="1"/>
  </cols>
  <sheetData>
    <row r="5" spans="1:6" x14ac:dyDescent="0.25">
      <c r="A5" s="9">
        <v>0</v>
      </c>
      <c r="B5" t="s">
        <v>0</v>
      </c>
      <c r="C5" s="9">
        <v>10</v>
      </c>
      <c r="D5" t="s">
        <v>54</v>
      </c>
      <c r="E5" s="9">
        <v>20</v>
      </c>
      <c r="F5" t="s">
        <v>64</v>
      </c>
    </row>
    <row r="6" spans="1:6" x14ac:dyDescent="0.25">
      <c r="A6" s="9">
        <v>1</v>
      </c>
      <c r="B6" t="s">
        <v>1</v>
      </c>
      <c r="C6" s="9">
        <v>11</v>
      </c>
      <c r="D6" t="s">
        <v>55</v>
      </c>
      <c r="E6" s="9">
        <v>21</v>
      </c>
      <c r="F6" t="s">
        <v>65</v>
      </c>
    </row>
    <row r="7" spans="1:6" x14ac:dyDescent="0.25">
      <c r="A7" s="9">
        <v>2</v>
      </c>
      <c r="B7" t="s">
        <v>2</v>
      </c>
      <c r="C7" s="9">
        <v>12</v>
      </c>
      <c r="D7" t="s">
        <v>56</v>
      </c>
      <c r="E7" s="9">
        <v>22</v>
      </c>
      <c r="F7" t="s">
        <v>66</v>
      </c>
    </row>
    <row r="8" spans="1:6" x14ac:dyDescent="0.25">
      <c r="A8" s="9">
        <v>3</v>
      </c>
      <c r="B8" t="s">
        <v>47</v>
      </c>
      <c r="C8" s="9">
        <v>13</v>
      </c>
      <c r="D8" t="s">
        <v>57</v>
      </c>
      <c r="E8" s="9">
        <v>23</v>
      </c>
      <c r="F8" t="s">
        <v>67</v>
      </c>
    </row>
    <row r="9" spans="1:6" x14ac:dyDescent="0.25">
      <c r="A9" s="9">
        <v>4</v>
      </c>
      <c r="B9" t="s">
        <v>48</v>
      </c>
      <c r="C9" s="9">
        <v>14</v>
      </c>
      <c r="D9" t="s">
        <v>58</v>
      </c>
      <c r="E9" s="9">
        <v>24</v>
      </c>
      <c r="F9" t="s">
        <v>68</v>
      </c>
    </row>
    <row r="10" spans="1:6" x14ac:dyDescent="0.25">
      <c r="A10" s="9">
        <v>5</v>
      </c>
      <c r="B10" t="s">
        <v>49</v>
      </c>
      <c r="C10" s="9">
        <v>15</v>
      </c>
      <c r="D10" t="s">
        <v>59</v>
      </c>
      <c r="E10" s="9">
        <v>25</v>
      </c>
      <c r="F10" t="s">
        <v>69</v>
      </c>
    </row>
    <row r="11" spans="1:6" x14ac:dyDescent="0.25">
      <c r="A11" s="9">
        <v>6</v>
      </c>
      <c r="B11" t="s">
        <v>50</v>
      </c>
      <c r="C11" s="9">
        <v>16</v>
      </c>
      <c r="D11" t="s">
        <v>60</v>
      </c>
      <c r="E11" s="9">
        <v>26</v>
      </c>
      <c r="F11" t="s">
        <v>70</v>
      </c>
    </row>
    <row r="12" spans="1:6" x14ac:dyDescent="0.25">
      <c r="A12" s="9">
        <v>7</v>
      </c>
      <c r="B12" t="s">
        <v>51</v>
      </c>
      <c r="C12" s="9">
        <v>17</v>
      </c>
      <c r="D12" t="s">
        <v>61</v>
      </c>
      <c r="E12" s="9">
        <v>27</v>
      </c>
      <c r="F12" t="s">
        <v>71</v>
      </c>
    </row>
    <row r="13" spans="1:6" x14ac:dyDescent="0.25">
      <c r="A13" s="9">
        <v>8</v>
      </c>
      <c r="B13" t="s">
        <v>52</v>
      </c>
      <c r="C13" s="9">
        <v>18</v>
      </c>
      <c r="D13" t="s">
        <v>62</v>
      </c>
      <c r="E13" s="9">
        <v>28</v>
      </c>
      <c r="F13" t="s">
        <v>72</v>
      </c>
    </row>
    <row r="14" spans="1:6" x14ac:dyDescent="0.25">
      <c r="A14" s="9">
        <v>9</v>
      </c>
      <c r="B14" t="s">
        <v>53</v>
      </c>
      <c r="C14" s="9">
        <v>19</v>
      </c>
      <c r="D14" t="s">
        <v>63</v>
      </c>
      <c r="E14" s="9">
        <v>29</v>
      </c>
      <c r="F14" t="s">
        <v>73</v>
      </c>
    </row>
    <row r="15" spans="1:6" x14ac:dyDescent="0.25">
      <c r="E15" s="9">
        <v>30</v>
      </c>
      <c r="F15" t="s">
        <v>74</v>
      </c>
    </row>
    <row r="16" spans="1:6" x14ac:dyDescent="0.25">
      <c r="E16" s="9">
        <v>31</v>
      </c>
      <c r="F16" t="s">
        <v>75</v>
      </c>
    </row>
    <row r="17" spans="5:6" x14ac:dyDescent="0.25">
      <c r="E17" s="9">
        <v>32</v>
      </c>
      <c r="F17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Z15"/>
  <sheetViews>
    <sheetView workbookViewId="0">
      <selection activeCell="O6" sqref="O6"/>
    </sheetView>
  </sheetViews>
  <sheetFormatPr defaultRowHeight="15" x14ac:dyDescent="0.25"/>
  <cols>
    <col min="1" max="3" width="20.7109375" customWidth="1"/>
    <col min="4" max="4" width="5.7109375" customWidth="1"/>
    <col min="5" max="7" width="20.7109375" customWidth="1"/>
    <col min="8" max="8" width="5.7109375" customWidth="1"/>
    <col min="9" max="11" width="20.7109375" customWidth="1"/>
    <col min="12" max="26" width="3.7109375" customWidth="1"/>
  </cols>
  <sheetData>
    <row r="5" spans="1:52" x14ac:dyDescent="0.25">
      <c r="A5" s="3">
        <v>10</v>
      </c>
      <c r="B5" s="4" t="s">
        <v>14</v>
      </c>
      <c r="C5" s="5"/>
      <c r="D5" s="5"/>
      <c r="E5" s="6"/>
      <c r="F5" s="5"/>
      <c r="G5" s="5"/>
      <c r="H5" s="5"/>
      <c r="I5" s="6"/>
      <c r="J5" s="5"/>
      <c r="K5" s="5"/>
      <c r="AB5" s="2" t="s">
        <v>9</v>
      </c>
    </row>
    <row r="6" spans="1:52" x14ac:dyDescent="0.25">
      <c r="A6" s="3">
        <v>3</v>
      </c>
      <c r="B6" s="4" t="s">
        <v>15</v>
      </c>
      <c r="C6" s="5"/>
      <c r="D6" s="5"/>
      <c r="E6" s="6"/>
      <c r="F6" s="5"/>
      <c r="G6" s="5"/>
      <c r="H6" s="5"/>
      <c r="I6" s="6"/>
      <c r="J6" s="5"/>
      <c r="K6" s="5"/>
      <c r="AB6" s="2" t="s">
        <v>10</v>
      </c>
    </row>
    <row r="7" spans="1:52" x14ac:dyDescent="0.25">
      <c r="A7" s="3">
        <v>6</v>
      </c>
      <c r="B7" s="4" t="s">
        <v>16</v>
      </c>
      <c r="C7" s="5"/>
      <c r="D7" s="5"/>
      <c r="E7" s="6"/>
      <c r="F7" s="5"/>
      <c r="G7" s="5"/>
      <c r="H7" s="5"/>
      <c r="I7" s="6"/>
      <c r="J7" s="5"/>
      <c r="K7" s="5"/>
      <c r="AB7" s="2" t="s">
        <v>11</v>
      </c>
    </row>
    <row r="8" spans="1:52" x14ac:dyDescent="0.25">
      <c r="A8" s="3"/>
      <c r="B8" s="4"/>
      <c r="C8" s="5"/>
      <c r="D8" s="5"/>
      <c r="E8" s="6"/>
      <c r="F8" s="5"/>
      <c r="G8" s="5"/>
      <c r="H8" s="5"/>
      <c r="I8" s="6"/>
      <c r="J8" s="5"/>
      <c r="K8" s="5"/>
      <c r="V8" t="s">
        <v>4</v>
      </c>
      <c r="AZ8" t="e">
        <f>ROW(INDEX(BA1:BA500,MATCH("CallSign",BA1:BA500,0)))</f>
        <v>#N/A</v>
      </c>
    </row>
    <row r="9" spans="1:52" x14ac:dyDescent="0.25">
      <c r="A9" s="7" t="s">
        <v>17</v>
      </c>
      <c r="B9" s="4"/>
      <c r="C9" s="4"/>
      <c r="D9" s="4"/>
      <c r="E9" s="7" t="s">
        <v>18</v>
      </c>
      <c r="F9" s="4"/>
      <c r="G9" s="4"/>
      <c r="H9" s="4"/>
      <c r="I9" s="7" t="s">
        <v>19</v>
      </c>
      <c r="J9" s="4"/>
      <c r="K9" s="4"/>
      <c r="V9" t="s">
        <v>5</v>
      </c>
      <c r="W9" t="s">
        <v>3</v>
      </c>
    </row>
    <row r="10" spans="1:52" x14ac:dyDescent="0.25">
      <c r="A10" s="3"/>
      <c r="B10" s="4"/>
      <c r="C10" s="5"/>
      <c r="D10" s="5"/>
      <c r="E10" s="6"/>
      <c r="F10" s="5"/>
      <c r="G10" s="5"/>
      <c r="H10" s="5"/>
      <c r="I10" s="6"/>
      <c r="J10" s="5"/>
      <c r="K10" s="5"/>
      <c r="V10" t="s">
        <v>5</v>
      </c>
      <c r="W10" t="s">
        <v>5</v>
      </c>
      <c r="X10" t="s">
        <v>6</v>
      </c>
    </row>
    <row r="11" spans="1:52" x14ac:dyDescent="0.25">
      <c r="A11" s="3" t="s">
        <v>20</v>
      </c>
      <c r="B11" s="5" t="s">
        <v>21</v>
      </c>
      <c r="C11" s="5" t="s">
        <v>22</v>
      </c>
      <c r="D11" s="5"/>
      <c r="E11" s="6" t="s">
        <v>20</v>
      </c>
      <c r="F11" s="5" t="s">
        <v>21</v>
      </c>
      <c r="G11" s="5" t="s">
        <v>22</v>
      </c>
      <c r="H11" s="5"/>
      <c r="I11" s="6" t="s">
        <v>20</v>
      </c>
      <c r="J11" s="5" t="s">
        <v>21</v>
      </c>
      <c r="K11" s="5" t="s">
        <v>22</v>
      </c>
      <c r="V11" t="s">
        <v>5</v>
      </c>
      <c r="W11" t="s">
        <v>5</v>
      </c>
      <c r="X11" t="s">
        <v>5</v>
      </c>
      <c r="Y11" t="s">
        <v>7</v>
      </c>
    </row>
    <row r="12" spans="1:52" x14ac:dyDescent="0.25">
      <c r="A12" s="3">
        <v>180.26666666613892</v>
      </c>
      <c r="B12" s="8">
        <v>44052.130798611113</v>
      </c>
      <c r="C12" s="8">
        <v>44052.255983796298</v>
      </c>
      <c r="D12" s="5"/>
      <c r="E12" s="6">
        <v>180.26666666613892</v>
      </c>
      <c r="F12" s="8"/>
      <c r="G12" s="8"/>
      <c r="H12" s="5"/>
      <c r="I12" s="6">
        <v>180.26666666613892</v>
      </c>
      <c r="J12" s="8">
        <v>44052.130798611113</v>
      </c>
      <c r="K12" s="8">
        <v>44052.255983796298</v>
      </c>
      <c r="V12" t="s">
        <v>5</v>
      </c>
      <c r="W12" t="s">
        <v>5</v>
      </c>
      <c r="X12" t="s">
        <v>5</v>
      </c>
      <c r="Y12" t="s">
        <v>5</v>
      </c>
      <c r="Z12" t="s">
        <v>8</v>
      </c>
    </row>
    <row r="13" spans="1:52" x14ac:dyDescent="0.25">
      <c r="A13" s="3">
        <v>161.00000000093132</v>
      </c>
      <c r="B13" s="8">
        <v>44053.046493055554</v>
      </c>
      <c r="C13" s="8">
        <v>44053.15829861111</v>
      </c>
      <c r="D13" s="5"/>
      <c r="E13" s="6">
        <v>161.00000000093132</v>
      </c>
      <c r="F13" s="8">
        <v>44053.046493055554</v>
      </c>
      <c r="G13" s="8">
        <v>44053.15829861111</v>
      </c>
      <c r="H13" s="5"/>
      <c r="I13" s="6">
        <v>161.00000000093132</v>
      </c>
      <c r="J13" s="8">
        <v>44053.046493055554</v>
      </c>
      <c r="K13" s="8">
        <v>44053.15829861111</v>
      </c>
      <c r="V13" t="s">
        <v>5</v>
      </c>
      <c r="W13" t="s">
        <v>5</v>
      </c>
      <c r="X13" t="s">
        <v>5</v>
      </c>
      <c r="Y13" t="s">
        <v>5</v>
      </c>
      <c r="Z13" t="s">
        <v>5</v>
      </c>
      <c r="AA13" s="1" t="s">
        <v>0</v>
      </c>
      <c r="AB13" s="1" t="s">
        <v>1</v>
      </c>
      <c r="AC13" s="1" t="s">
        <v>2</v>
      </c>
    </row>
    <row r="14" spans="1:52" x14ac:dyDescent="0.25">
      <c r="A14" s="3">
        <v>145.11666666367091</v>
      </c>
      <c r="B14" s="8">
        <v>44051.126620370371</v>
      </c>
      <c r="C14" s="8">
        <v>44051.227395833332</v>
      </c>
      <c r="D14" s="5"/>
      <c r="E14" s="6">
        <v>145.11666666367091</v>
      </c>
      <c r="F14" s="8"/>
      <c r="G14" s="8"/>
      <c r="H14" s="5"/>
      <c r="I14" s="6">
        <v>145.11666666367091</v>
      </c>
      <c r="J14" s="8">
        <v>44051.126620370371</v>
      </c>
      <c r="K14" s="8">
        <v>44051.227395833332</v>
      </c>
    </row>
    <row r="15" spans="1:52" x14ac:dyDescent="0.25">
      <c r="A15" s="3">
        <v>143.31666667247191</v>
      </c>
      <c r="B15" s="8">
        <v>44054.055671296293</v>
      </c>
      <c r="C15" s="8">
        <v>44054.15519675926</v>
      </c>
      <c r="D15" s="5"/>
      <c r="E15" s="6">
        <v>143.31666667247191</v>
      </c>
      <c r="F15" s="8">
        <v>44054.055671296293</v>
      </c>
      <c r="G15" s="8">
        <v>44054.15519675926</v>
      </c>
      <c r="H15" s="5"/>
      <c r="I15" s="6">
        <v>143.31666667247191</v>
      </c>
      <c r="J15" s="8">
        <v>44054.055671296293</v>
      </c>
      <c r="K15" s="8">
        <v>44054.15519675926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9"/>
  <sheetViews>
    <sheetView workbookViewId="0">
      <selection activeCell="H11" sqref="H11"/>
    </sheetView>
  </sheetViews>
  <sheetFormatPr defaultRowHeight="12.75" x14ac:dyDescent="0.2"/>
  <cols>
    <col min="1" max="5" width="8.7109375" style="11" customWidth="1"/>
    <col min="6" max="17" width="8.7109375" style="12" customWidth="1"/>
    <col min="18" max="16384" width="9.140625" style="12"/>
  </cols>
  <sheetData>
    <row r="1" spans="1:9" x14ac:dyDescent="0.2">
      <c r="B1" s="11" t="s">
        <v>36</v>
      </c>
      <c r="C1" s="11" t="s">
        <v>37</v>
      </c>
      <c r="D1" s="11" t="s">
        <v>38</v>
      </c>
      <c r="H1" s="12" t="s">
        <v>36</v>
      </c>
      <c r="I1" s="12" t="s">
        <v>37</v>
      </c>
    </row>
    <row r="2" spans="1:9" x14ac:dyDescent="0.2">
      <c r="B2" s="11" t="s">
        <v>36</v>
      </c>
      <c r="C2" s="11" t="s">
        <v>37</v>
      </c>
      <c r="D2" s="11" t="s">
        <v>38</v>
      </c>
      <c r="H2" s="12" t="s">
        <v>36</v>
      </c>
      <c r="I2" s="12" t="s">
        <v>37</v>
      </c>
    </row>
    <row r="3" spans="1:9" x14ac:dyDescent="0.2">
      <c r="B3" s="11" t="s">
        <v>36</v>
      </c>
      <c r="C3" s="11" t="s">
        <v>37</v>
      </c>
      <c r="D3" s="11" t="s">
        <v>38</v>
      </c>
      <c r="H3" s="12" t="s">
        <v>36</v>
      </c>
      <c r="I3" s="12" t="s">
        <v>37</v>
      </c>
    </row>
    <row r="4" spans="1:9" x14ac:dyDescent="0.2">
      <c r="B4" s="11" t="s">
        <v>36</v>
      </c>
      <c r="C4" s="11" t="s">
        <v>37</v>
      </c>
      <c r="D4" s="11" t="s">
        <v>38</v>
      </c>
      <c r="H4" s="12" t="s">
        <v>36</v>
      </c>
      <c r="I4" s="12" t="s">
        <v>37</v>
      </c>
    </row>
    <row r="5" spans="1:9" x14ac:dyDescent="0.2">
      <c r="B5" s="11" t="s">
        <v>36</v>
      </c>
      <c r="C5" s="11" t="s">
        <v>37</v>
      </c>
      <c r="D5" s="11" t="s">
        <v>38</v>
      </c>
      <c r="F5" s="13"/>
      <c r="H5" s="12" t="s">
        <v>36</v>
      </c>
      <c r="I5" s="12" t="s">
        <v>37</v>
      </c>
    </row>
    <row r="6" spans="1:9" x14ac:dyDescent="0.2">
      <c r="B6" s="11" t="s">
        <v>36</v>
      </c>
      <c r="C6" s="11" t="s">
        <v>37</v>
      </c>
      <c r="D6" s="11" t="s">
        <v>38</v>
      </c>
      <c r="F6" s="13"/>
      <c r="H6" s="12" t="s">
        <v>36</v>
      </c>
      <c r="I6" s="12" t="s">
        <v>37</v>
      </c>
    </row>
    <row r="7" spans="1:9" x14ac:dyDescent="0.2">
      <c r="B7" s="11">
        <v>5</v>
      </c>
      <c r="C7" s="11">
        <v>5</v>
      </c>
      <c r="D7" s="11">
        <v>5</v>
      </c>
      <c r="F7" s="13"/>
      <c r="H7" s="12">
        <v>5</v>
      </c>
      <c r="I7" s="12">
        <v>5</v>
      </c>
    </row>
    <row r="8" spans="1:9" x14ac:dyDescent="0.2">
      <c r="B8" s="11">
        <v>5</v>
      </c>
      <c r="C8" s="11">
        <v>5</v>
      </c>
      <c r="D8" s="11">
        <v>5</v>
      </c>
      <c r="H8" s="12">
        <v>5</v>
      </c>
      <c r="I8" s="12">
        <v>5</v>
      </c>
    </row>
    <row r="9" spans="1:9" x14ac:dyDescent="0.2">
      <c r="B9" s="11">
        <v>5</v>
      </c>
      <c r="C9" s="11">
        <v>5</v>
      </c>
      <c r="D9" s="11">
        <v>5</v>
      </c>
      <c r="H9" s="12">
        <v>5</v>
      </c>
      <c r="I9" s="12">
        <v>5</v>
      </c>
    </row>
    <row r="10" spans="1:9" x14ac:dyDescent="0.2">
      <c r="B10" s="11">
        <v>5</v>
      </c>
      <c r="C10" s="11">
        <v>5</v>
      </c>
      <c r="D10" s="11">
        <v>5</v>
      </c>
      <c r="H10" s="12">
        <v>5</v>
      </c>
      <c r="I10" s="12">
        <v>5</v>
      </c>
    </row>
    <row r="13" spans="1:9" x14ac:dyDescent="0.2">
      <c r="A13" s="14"/>
      <c r="D13" s="14"/>
    </row>
    <row r="15" spans="1:9" x14ac:dyDescent="0.2">
      <c r="D15" s="14"/>
    </row>
    <row r="17" spans="1:4" x14ac:dyDescent="0.2">
      <c r="A17" s="15"/>
      <c r="D17" s="16"/>
    </row>
    <row r="19" spans="1:4" x14ac:dyDescent="0.2">
      <c r="D19" s="17"/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6" sqref="B6:C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021b1c97-5af1-4bdc-85af-edc014b3fed2">NHZ6DDWYZJYY-1423838633-33</_dlc_DocId>
    <_dlc_DocIdUrl xmlns="021b1c97-5af1-4bdc-85af-edc014b3fed2">
      <Url>https://ksn2.faa.gov/ajm/AJM24/AE/CountOps/CountOps_Internal/_layouts/15/DocIdRedir.aspx?ID=NHZ6DDWYZJYY-1423838633-33</Url>
      <Description>NHZ6DDWYZJYY-1423838633-33</Description>
    </_dlc_DocIdUrl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CBE02DB3651A4294F60F09ACF90D04" ma:contentTypeVersion="0" ma:contentTypeDescription="Create a new document." ma:contentTypeScope="" ma:versionID="accd1607da88b9a7ad48b61853321e59">
  <xsd:schema xmlns:xsd="http://www.w3.org/2001/XMLSchema" xmlns:xs="http://www.w3.org/2001/XMLSchema" xmlns:p="http://schemas.microsoft.com/office/2006/metadata/properties" xmlns:ns2="021b1c97-5af1-4bdc-85af-edc014b3fed2" targetNamespace="http://schemas.microsoft.com/office/2006/metadata/properties" ma:root="true" ma:fieldsID="ea2ec7e2bf4ac47c98cab74c86104d43" ns2:_="">
    <xsd:import namespace="021b1c97-5af1-4bdc-85af-edc014b3fed2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1b1c97-5af1-4bdc-85af-edc014b3fed2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68AA71A-8AB9-430A-AFAD-E7D8A848E95F}">
  <ds:schemaRefs>
    <ds:schemaRef ds:uri="021b1c97-5af1-4bdc-85af-edc014b3fed2"/>
    <ds:schemaRef ds:uri="http://purl.org/dc/dcmitype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070FA0A-5133-4686-9BAE-495C6B5296B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9707F33-332E-488F-A311-EDFE5FF78D70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AAD24D97-7EC0-48BB-B332-C2CF505BF5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21b1c97-5af1-4bdc-85af-edc014b3fed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Macro List</vt:lpstr>
      <vt:lpstr>Sheet1</vt:lpstr>
      <vt:lpstr>Hole</vt:lpstr>
      <vt:lpstr>Examples</vt:lpstr>
      <vt:lpstr>Conver_Time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Tool</dc:title>
  <dc:creator>Caron, James A-CTR (FAA)</dc:creator>
  <cp:lastModifiedBy>Jim Caron</cp:lastModifiedBy>
  <dcterms:created xsi:type="dcterms:W3CDTF">2020-08-11T16:18:50Z</dcterms:created>
  <dcterms:modified xsi:type="dcterms:W3CDTF">2022-11-21T11:40:13Z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0x010100C6CBE02DB3651A4294F60F09ACF90D04</vt:lpwstr>
  </property>
  <property fmtid="{D5CDD505-2E9C-101B-9397-08002B2CF9AE}" pid="3" name="_dlc_DocIdItemGuid">
    <vt:lpwstr>8c9f93f1-d0be-4669-b4d0-01b43cfa5716</vt:lpwstr>
  </property>
</Properties>
</file>